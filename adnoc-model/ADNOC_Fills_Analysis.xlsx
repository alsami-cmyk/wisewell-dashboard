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ls Buildup" sheetId="1" state="visible" r:id="rId1"/>
    <sheet name="ADNOC Math 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&quot;×&quot;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666666"/>
      <sz val="9"/>
    </font>
    <font>
      <name val="Arial"/>
      <b val="1"/>
      <color rgb="000047BA"/>
      <sz val="12"/>
    </font>
    <font>
      <name val="Arial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color rgb="000047BA"/>
      <sz val="11"/>
    </font>
    <font>
      <name val="Arial"/>
      <b val="1"/>
      <sz val="10"/>
    </font>
    <font>
      <name val="Arial"/>
      <b val="1"/>
      <color rgb="00FF0000"/>
      <sz val="10"/>
    </font>
    <font>
      <name val="Arial"/>
      <b val="1"/>
      <color rgb="00FF0000"/>
      <sz val="11"/>
    </font>
    <font>
      <name val="Arial"/>
      <i val="1"/>
      <color rgb="00FF0000"/>
      <sz val="9"/>
    </font>
    <font>
      <name val="Arial"/>
      <b val="1"/>
      <i val="1"/>
      <color rgb="00FF0000"/>
      <sz val="10"/>
    </font>
    <font>
      <name val="Arial"/>
      <b val="1"/>
      <color rgb="00FF0000"/>
      <sz val="12"/>
    </font>
    <font>
      <name val="Arial"/>
      <color rgb="00008000"/>
      <sz val="10"/>
    </font>
  </fonts>
  <fills count="4">
    <fill>
      <patternFill/>
    </fill>
    <fill>
      <patternFill patternType="gray125"/>
    </fill>
    <fill>
      <patternFill patternType="solid">
        <fgColor rgb="000047BA"/>
      </patternFill>
    </fill>
    <fill>
      <patternFill patternType="solid">
        <fgColor rgb="00E8F0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5" fillId="0" borderId="1" pivotButton="0" quotePrefix="0" xfId="0"/>
    <xf numFmtId="164" fontId="5" fillId="0" borderId="1" pivotButton="0" quotePrefix="0" xfId="0"/>
    <xf numFmtId="3" fontId="6" fillId="0" borderId="1" pivotButton="0" quotePrefix="0" xfId="0"/>
    <xf numFmtId="0" fontId="7" fillId="0" borderId="1" pivotButton="0" quotePrefix="0" xfId="0"/>
    <xf numFmtId="3" fontId="7" fillId="3" borderId="1" pivotButton="0" quotePrefix="0" xfId="0"/>
    <xf numFmtId="165" fontId="8" fillId="0" borderId="1" pivotButton="0" quotePrefix="0" xfId="0"/>
    <xf numFmtId="165" fontId="6" fillId="0" borderId="1" pivotButton="0" quotePrefix="0" xfId="0"/>
    <xf numFmtId="3" fontId="7" fillId="0" borderId="1" pivotButton="0" quotePrefix="0" xfId="0"/>
    <xf numFmtId="3" fontId="9" fillId="0" borderId="1" pivotButton="0" quotePrefix="0" xfId="0"/>
    <xf numFmtId="166" fontId="10" fillId="0" borderId="1" pivotButton="0" quotePrefix="0" xfId="0"/>
    <xf numFmtId="0" fontId="11" fillId="0" borderId="1" pivotButton="0" quotePrefix="0" xfId="0"/>
    <xf numFmtId="164" fontId="6" fillId="0" borderId="1" pivotButton="0" quotePrefix="0" xfId="0"/>
    <xf numFmtId="0" fontId="0" fillId="0" borderId="1" pivotButton="0" quotePrefix="0" xfId="0"/>
    <xf numFmtId="0" fontId="8" fillId="3" borderId="1" pivotButton="0" quotePrefix="0" xfId="0"/>
    <xf numFmtId="3" fontId="6" fillId="3" borderId="1" pivotButton="0" quotePrefix="0" xfId="0"/>
    <xf numFmtId="164" fontId="6" fillId="3" borderId="1" pivotButton="0" quotePrefix="0" xfId="0"/>
    <xf numFmtId="0" fontId="12" fillId="0" borderId="1" pivotButton="0" quotePrefix="0" xfId="0"/>
    <xf numFmtId="0" fontId="0" fillId="2" borderId="0" pivotButton="0" quotePrefix="0" xfId="0"/>
    <xf numFmtId="3" fontId="13" fillId="3" borderId="1" pivotButton="0" quotePrefix="0" xfId="0"/>
    <xf numFmtId="165" fontId="14" fillId="0" borderId="1" pivotButton="0" quotePrefix="0" xfId="0"/>
    <xf numFmtId="165" fontId="5" fillId="0" borderId="1" pivotButton="0" quotePrefix="0" xfId="0"/>
    <xf numFmtId="3" fontId="13" fillId="0" borderId="1" pivotButton="0" quotePrefix="0" xfId="0"/>
    <xf numFmtId="165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47BA"/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8" customWidth="1" min="3" max="3"/>
    <col width="18" customWidth="1" min="4" max="4"/>
    <col width="18" customWidth="1" min="5" max="5"/>
    <col width="8" customWidth="1" min="6" max="6"/>
  </cols>
  <sheetData>
    <row r="1" ht="30" customHeight="1">
      <c r="A1" s="1" t="inlineStr">
        <is>
          <t>ADNOC Oasis Water Refill — Fill Volume Analysis</t>
        </is>
      </c>
      <c r="B1" s="2" t="n"/>
      <c r="C1" s="2" t="n"/>
      <c r="D1" s="2" t="n"/>
      <c r="E1" s="2" t="n"/>
      <c r="F1" s="2" t="n"/>
    </row>
    <row r="2">
      <c r="A2" s="3" t="inlineStr">
        <is>
          <t>Prepared April 2026 | Baseline: 2 sales/day/store, 384 stores</t>
        </is>
      </c>
    </row>
    <row r="3"/>
    <row r="4">
      <c r="A4" s="4" t="inlineStr">
        <is>
          <t>A</t>
        </is>
      </c>
      <c r="B4" s="4" t="inlineStr">
        <is>
          <t>KEY ASSUMPTIONS</t>
        </is>
      </c>
    </row>
    <row r="5">
      <c r="B5" s="5" t="inlineStr">
        <is>
          <t>Parameter</t>
        </is>
      </c>
      <c r="C5" s="5" t="inlineStr">
        <is>
          <t>Value</t>
        </is>
      </c>
      <c r="D5" s="5" t="inlineStr">
        <is>
          <t>Unit</t>
        </is>
      </c>
      <c r="E5" s="5" t="inlineStr">
        <is>
          <t>Source</t>
        </is>
      </c>
    </row>
    <row r="6">
      <c r="B6" s="6" t="inlineStr">
        <is>
          <t>Subscriptions sold per store per day</t>
        </is>
      </c>
      <c r="C6" s="7" t="n">
        <v>2</v>
      </c>
      <c r="D6" s="6" t="inlineStr">
        <is>
          <t>subs/day</t>
        </is>
      </c>
      <c r="E6" s="3" t="inlineStr">
        <is>
          <t>Model assumption</t>
        </is>
      </c>
    </row>
    <row r="7">
      <c r="B7" s="6" t="inlineStr">
        <is>
          <t>Number of ADNOC Oasis stores</t>
        </is>
      </c>
      <c r="C7" s="7" t="n">
        <v>384</v>
      </c>
      <c r="D7" s="6" t="inlineStr">
        <is>
          <t>stores</t>
        </is>
      </c>
      <c r="E7" s="3" t="inlineStr">
        <is>
          <t>ADNOC counter-proposal</t>
        </is>
      </c>
    </row>
    <row r="8">
      <c r="B8" s="6" t="inlineStr">
        <is>
          <t>1-month tier mix</t>
        </is>
      </c>
      <c r="C8" s="8" t="n">
        <v>0.3</v>
      </c>
    </row>
    <row r="9">
      <c r="B9" s="6" t="inlineStr">
        <is>
          <t>3-month tier mix</t>
        </is>
      </c>
      <c r="C9" s="8" t="n">
        <v>0.65</v>
      </c>
    </row>
    <row r="10">
      <c r="B10" s="6" t="inlineStr">
        <is>
          <t>12-month tier mix</t>
        </is>
      </c>
      <c r="C10" s="8" t="n">
        <v>0.05</v>
      </c>
    </row>
    <row r="11">
      <c r="B11" s="6" t="inlineStr">
        <is>
          <t>Fill frequency (days between fills)</t>
        </is>
      </c>
      <c r="C11" s="7" t="n">
        <v>3</v>
      </c>
      <c r="D11" s="6" t="inlineStr">
        <is>
          <t>days</t>
        </is>
      </c>
      <c r="E11" s="3" t="inlineStr">
        <is>
          <t>ADNOC assumption</t>
        </is>
      </c>
    </row>
    <row r="12"/>
    <row r="13">
      <c r="A13" s="4" t="inlineStr">
        <is>
          <t>B</t>
        </is>
      </c>
      <c r="B13" s="4" t="inlineStr">
        <is>
          <t>SUBSCRIPTION SALES VOLUME (What Our Model Tracks)</t>
        </is>
      </c>
    </row>
    <row r="14">
      <c r="B14" s="5" t="inlineStr">
        <is>
          <t>Metric</t>
        </is>
      </c>
      <c r="C14" s="5" t="inlineStr">
        <is>
          <t>Value</t>
        </is>
      </c>
      <c r="D14" s="5" t="inlineStr">
        <is>
          <t>Formula</t>
        </is>
      </c>
    </row>
    <row r="15">
      <c r="B15" s="6" t="inlineStr">
        <is>
          <t>Network daily subscription sales</t>
        </is>
      </c>
      <c r="C15" s="9">
        <f>C6*C7</f>
        <v/>
      </c>
      <c r="D15" s="3">
        <f> C6 × C7</f>
        <v/>
      </c>
    </row>
    <row r="16">
      <c r="B16" s="6" t="inlineStr">
        <is>
          <t>Monthly subscription sales (×30)</t>
        </is>
      </c>
      <c r="C16" s="9">
        <f>C15*30</f>
        <v/>
      </c>
    </row>
    <row r="17">
      <c r="B17" s="6" t="inlineStr">
        <is>
          <t>Yearly subscription sales (×360)</t>
        </is>
      </c>
      <c r="C17" s="9">
        <f>C15*360</f>
        <v/>
      </c>
      <c r="D17" s="3" t="inlineStr">
        <is>
          <t>30 days × 12 months (matches Excel model)</t>
        </is>
      </c>
    </row>
    <row r="18">
      <c r="B18" s="6" t="inlineStr">
        <is>
          <t xml:space="preserve">  → 1-month subscriptions sold/year</t>
        </is>
      </c>
      <c r="C18" s="9">
        <f>C17*C8</f>
        <v/>
      </c>
    </row>
    <row r="19">
      <c r="B19" s="6" t="inlineStr">
        <is>
          <t xml:space="preserve">  → 3-month subscriptions sold/year</t>
        </is>
      </c>
      <c r="C19" s="9">
        <f>C17*C9</f>
        <v/>
      </c>
    </row>
    <row r="20">
      <c r="B20" s="6" t="inlineStr">
        <is>
          <t xml:space="preserve">  → 12-month subscriptions sold/year</t>
        </is>
      </c>
      <c r="C20" s="9">
        <f>C17*C10</f>
        <v/>
      </c>
    </row>
    <row r="21"/>
    <row r="22">
      <c r="A22" s="4" t="inlineStr">
        <is>
          <t>C</t>
        </is>
      </c>
      <c r="B22" s="4" t="inlineStr">
        <is>
          <t>ACTIVE SUBSCRIBER POOL AT ANY GIVEN TIME</t>
        </is>
      </c>
    </row>
    <row r="23">
      <c r="B23" s="3" t="inlineStr">
        <is>
          <t>Not all subscribers are active simultaneously. A 1-month plan bought in January expires by February.</t>
        </is>
      </c>
    </row>
    <row r="24">
      <c r="B24" s="5" t="inlineStr">
        <is>
          <t>Tier</t>
        </is>
      </c>
      <c r="C24" s="5" t="inlineStr">
        <is>
          <t>Sold/Year</t>
        </is>
      </c>
      <c r="D24" s="5" t="inlineStr">
        <is>
          <t>Active Duration</t>
        </is>
      </c>
      <c r="E24" s="5" t="inlineStr">
        <is>
          <t>Avg Active Subs</t>
        </is>
      </c>
    </row>
    <row r="25">
      <c r="B25" s="6" t="inlineStr">
        <is>
          <t>1-month tier</t>
        </is>
      </c>
      <c r="C25" s="9">
        <f>C18</f>
        <v/>
      </c>
      <c r="D25" s="6" t="inlineStr">
        <is>
          <t>1 month (÷12)</t>
        </is>
      </c>
      <c r="E25" s="9">
        <f>C25/12</f>
        <v/>
      </c>
    </row>
    <row r="26">
      <c r="B26" s="6" t="inlineStr">
        <is>
          <t>3-month tier</t>
        </is>
      </c>
      <c r="C26" s="9">
        <f>C19</f>
        <v/>
      </c>
      <c r="D26" s="6" t="inlineStr">
        <is>
          <t>3 months (÷4)</t>
        </is>
      </c>
      <c r="E26" s="9">
        <f>C26/4</f>
        <v/>
      </c>
    </row>
    <row r="27">
      <c r="B27" s="6" t="inlineStr">
        <is>
          <t>12-month tier</t>
        </is>
      </c>
      <c r="C27" s="9">
        <f>C20</f>
        <v/>
      </c>
      <c r="D27" s="6" t="inlineStr">
        <is>
          <t>12 months (avg ÷2)</t>
        </is>
      </c>
      <c r="E27" s="9">
        <f>C27/2</f>
        <v/>
      </c>
    </row>
    <row r="28">
      <c r="B28" s="10" t="inlineStr">
        <is>
          <t>TOTAL AVERAGE ACTIVE SUBSCRIBERS</t>
        </is>
      </c>
      <c r="E28" s="11">
        <f>E25+E26+E27</f>
        <v/>
      </c>
    </row>
    <row r="29">
      <c r="B29" s="6" t="inlineStr">
        <is>
          <t>Active subscribers per store</t>
        </is>
      </c>
      <c r="E29" s="12">
        <f>E28/C7</f>
        <v/>
      </c>
    </row>
    <row r="30"/>
    <row r="31">
      <c r="A31" s="4" t="inlineStr">
        <is>
          <t>D</t>
        </is>
      </c>
      <c r="B31" s="4" t="inlineStr">
        <is>
          <t>FILL VOLUME CALCULATION</t>
        </is>
      </c>
    </row>
    <row r="32">
      <c r="B32" s="5" t="inlineStr">
        <is>
          <t>Metric</t>
        </is>
      </c>
      <c r="C32" s="5" t="inlineStr">
        <is>
          <t>Value</t>
        </is>
      </c>
      <c r="D32" s="5" t="inlineStr">
        <is>
          <t>Per Store</t>
        </is>
      </c>
      <c r="E32" s="5" t="inlineStr">
        <is>
          <t>Formula</t>
        </is>
      </c>
    </row>
    <row r="33">
      <c r="B33" s="6" t="inlineStr">
        <is>
          <t>Daily fills (network)</t>
        </is>
      </c>
      <c r="C33" s="9">
        <f>E28/C11</f>
        <v/>
      </c>
      <c r="D33" s="13">
        <f>C33/C7</f>
        <v/>
      </c>
      <c r="E33" s="3" t="inlineStr">
        <is>
          <t>Active subs ÷ fill frequency</t>
        </is>
      </c>
    </row>
    <row r="34">
      <c r="B34" s="6" t="inlineStr">
        <is>
          <t>Monthly fills (network)</t>
        </is>
      </c>
      <c r="C34" s="9">
        <f>C33*30</f>
        <v/>
      </c>
      <c r="D34" s="9">
        <f>C34/C7</f>
        <v/>
      </c>
    </row>
    <row r="35">
      <c r="B35" s="10" t="inlineStr">
        <is>
          <t>YEARLY FILLS (NETWORK)</t>
        </is>
      </c>
      <c r="C35" s="11">
        <f>C33*365</f>
        <v/>
      </c>
      <c r="D35" s="14">
        <f>C35/C7</f>
        <v/>
      </c>
    </row>
    <row r="36"/>
    <row r="37">
      <c r="A37" s="4" t="inlineStr">
        <is>
          <t>E</t>
        </is>
      </c>
      <c r="B37" s="4" t="inlineStr">
        <is>
          <t>COMPARISON TO ADNOC'S CLAIM</t>
        </is>
      </c>
    </row>
    <row r="38">
      <c r="B38" s="5" t="inlineStr">
        <is>
          <t>Metric</t>
        </is>
      </c>
      <c r="C38" s="5" t="inlineStr">
        <is>
          <t>ADNOC Claim</t>
        </is>
      </c>
      <c r="D38" s="5" t="inlineStr">
        <is>
          <t>Our Analysis</t>
        </is>
      </c>
      <c r="E38" s="5" t="inlineStr">
        <is>
          <t>Delta</t>
        </is>
      </c>
    </row>
    <row r="39">
      <c r="B39" s="6" t="inlineStr">
        <is>
          <t>Annual fills</t>
        </is>
      </c>
      <c r="C39" s="7" t="n">
        <v>29000000</v>
      </c>
      <c r="D39" s="9">
        <f>C35</f>
        <v/>
      </c>
      <c r="E39" s="15">
        <f>C39-D39</f>
        <v/>
      </c>
    </row>
    <row r="40">
      <c r="B40" s="6" t="inlineStr">
        <is>
          <t>Overstatement factor</t>
        </is>
      </c>
      <c r="E40" s="16">
        <f>C39/D39</f>
        <v/>
      </c>
    </row>
    <row r="41">
      <c r="B41" s="6" t="inlineStr">
        <is>
          <t>Fills per store per day (ADNOC)</t>
        </is>
      </c>
      <c r="C41" s="13">
        <f>C39/384/365</f>
        <v/>
      </c>
      <c r="D41" s="6" t="inlineStr"/>
      <c r="E41" s="17" t="inlineStr">
        <is>
          <t>← Implausible: 207 fills/store/day</t>
        </is>
      </c>
    </row>
    <row r="42">
      <c r="B42" s="6" t="inlineStr">
        <is>
          <t>Fills per store per day (Ours)</t>
        </is>
      </c>
      <c r="D42" s="13">
        <f>D33</f>
        <v/>
      </c>
    </row>
    <row r="43"/>
    <row r="44">
      <c r="A44" s="4" t="inlineStr">
        <is>
          <t>F</t>
        </is>
      </c>
      <c r="B44" s="4" t="inlineStr">
        <is>
          <t>SENSITIVITY: FILL FREQUENCY</t>
        </is>
      </c>
    </row>
    <row r="45">
      <c r="B45" s="5" t="inlineStr">
        <is>
          <t>Fill Frequency</t>
        </is>
      </c>
      <c r="C45" s="5" t="inlineStr">
        <is>
          <t>Daily Fills</t>
        </is>
      </c>
      <c r="D45" s="5" t="inlineStr">
        <is>
          <t>Annual Fills</t>
        </is>
      </c>
      <c r="E45" s="5" t="inlineStr">
        <is>
          <t>vs ADNOC 29M</t>
        </is>
      </c>
    </row>
    <row r="46">
      <c r="B46" s="6" t="inlineStr">
        <is>
          <t>Every day</t>
        </is>
      </c>
      <c r="C46" s="9">
        <f>E28/F46</f>
        <v/>
      </c>
      <c r="D46" s="9">
        <f>C46*365</f>
        <v/>
      </c>
      <c r="E46" s="18">
        <f>D46/C39</f>
        <v/>
      </c>
      <c r="F46" s="19" t="n">
        <v>1</v>
      </c>
    </row>
    <row r="47">
      <c r="B47" s="6" t="inlineStr">
        <is>
          <t>Every 2 days</t>
        </is>
      </c>
      <c r="C47" s="9">
        <f>E28/F47</f>
        <v/>
      </c>
      <c r="D47" s="9">
        <f>C47*365</f>
        <v/>
      </c>
      <c r="E47" s="18">
        <f>D47/C39</f>
        <v/>
      </c>
      <c r="F47" s="19" t="n">
        <v>2</v>
      </c>
    </row>
    <row r="48">
      <c r="B48" s="20" t="inlineStr">
        <is>
          <t>Every 3 days (ADNOC assumption)</t>
        </is>
      </c>
      <c r="C48" s="21">
        <f>E28/F48</f>
        <v/>
      </c>
      <c r="D48" s="21">
        <f>C48*365</f>
        <v/>
      </c>
      <c r="E48" s="22">
        <f>D48/C39</f>
        <v/>
      </c>
      <c r="F48" s="19" t="n">
        <v>3</v>
      </c>
    </row>
    <row r="49">
      <c r="B49" s="6" t="inlineStr">
        <is>
          <t>Every 5 days</t>
        </is>
      </c>
      <c r="C49" s="9">
        <f>E28/F49</f>
        <v/>
      </c>
      <c r="D49" s="9">
        <f>C49*365</f>
        <v/>
      </c>
      <c r="E49" s="18">
        <f>D49/C39</f>
        <v/>
      </c>
      <c r="F49" s="19" t="n">
        <v>5</v>
      </c>
    </row>
    <row r="50">
      <c r="B50" s="6" t="inlineStr">
        <is>
          <t>Once per week</t>
        </is>
      </c>
      <c r="C50" s="9">
        <f>E28/F50</f>
        <v/>
      </c>
      <c r="D50" s="9">
        <f>C50*365</f>
        <v/>
      </c>
      <c r="E50" s="18">
        <f>D50/C39</f>
        <v/>
      </c>
      <c r="F50" s="19" t="n">
        <v>7</v>
      </c>
    </row>
    <row r="51"/>
    <row r="52">
      <c r="B52" s="23" t="inlineStr">
        <is>
          <t>Even at the most aggressive assumption (filling every single day), annual fills are 21.4M — still below ADNOC's 29M claim.</t>
        </is>
      </c>
    </row>
  </sheetData>
  <mergeCells count="4">
    <mergeCell ref="A2:F2"/>
    <mergeCell ref="A1:F1"/>
    <mergeCell ref="B23:F23"/>
    <mergeCell ref="B52:F5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0047BA"/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22" customWidth="1" min="3" max="3"/>
    <col width="22" customWidth="1" min="4" max="4"/>
    <col width="22" customWidth="1" min="5" max="5"/>
  </cols>
  <sheetData>
    <row r="1" ht="30" customHeight="1">
      <c r="A1" s="1" t="inlineStr">
        <is>
          <t>Reverse-Engineering ADNOC's 29M Fills Claim</t>
        </is>
      </c>
      <c r="B1" s="24" t="n"/>
      <c r="C1" s="24" t="n"/>
      <c r="D1" s="24" t="n"/>
      <c r="E1" s="24" t="n"/>
    </row>
    <row r="2"/>
    <row r="3">
      <c r="A3" s="4" t="inlineStr">
        <is>
          <t>A</t>
        </is>
      </c>
      <c r="B3" s="4" t="inlineStr">
        <is>
          <t>WHAT SUBSCRIBER COUNT PRODUCES 29M FILLS?</t>
        </is>
      </c>
    </row>
    <row r="4">
      <c r="B4" s="5" t="inlineStr">
        <is>
          <t>Working</t>
        </is>
      </c>
      <c r="C4" s="5" t="inlineStr">
        <is>
          <t>Value</t>
        </is>
      </c>
      <c r="D4" s="5" t="inlineStr">
        <is>
          <t>Unit</t>
        </is>
      </c>
    </row>
    <row r="5">
      <c r="B5" s="6" t="inlineStr">
        <is>
          <t>ADNOC's claimed fills per year</t>
        </is>
      </c>
      <c r="C5" s="7" t="n">
        <v>29000000</v>
      </c>
    </row>
    <row r="6">
      <c r="B6" s="6" t="inlineStr">
        <is>
          <t>Fill frequency (days between fills)</t>
        </is>
      </c>
      <c r="C6" s="7" t="n">
        <v>3</v>
      </c>
      <c r="D6" s="6" t="inlineStr">
        <is>
          <t>days</t>
        </is>
      </c>
    </row>
    <row r="7">
      <c r="B7" s="6" t="inlineStr">
        <is>
          <t>Fills per subscriber per year</t>
        </is>
      </c>
      <c r="C7" s="9">
        <f>ROUND(365/C6,0)</f>
        <v/>
      </c>
    </row>
    <row r="8">
      <c r="B8" s="10" t="inlineStr">
        <is>
          <t>Required active subscribers to hit 29M fills</t>
        </is>
      </c>
      <c r="C8" s="11">
        <f>ROUND(C5/C7,0)</f>
        <v/>
      </c>
    </row>
    <row r="9">
      <c r="B9" s="6" t="inlineStr">
        <is>
          <t>Number of stores</t>
        </is>
      </c>
      <c r="C9" s="7" t="n">
        <v>384</v>
      </c>
    </row>
    <row r="10">
      <c r="B10" s="10" t="inlineStr">
        <is>
          <t>Required active subscribers PER STORE</t>
        </is>
      </c>
      <c r="C10" s="25">
        <f>ROUND(C8/C9,0)</f>
        <v/>
      </c>
    </row>
    <row r="11">
      <c r="B11" s="6" t="inlineStr">
        <is>
          <t>Our model's active subscribers per store</t>
        </is>
      </c>
      <c r="C11" s="26">
        <f>'Fills Buildup'!E29</f>
        <v/>
      </c>
    </row>
    <row r="12">
      <c r="B12" s="23">
        <f>CONCATENATE("ADNOC needs ",TEXT(C10,"#,##0")," active subscribers/store vs our ",TEXT(C11,"#,##0.0")," — a ",TEXT(C10/C11,"#,##0.0"),"× difference")</f>
        <v/>
      </c>
    </row>
    <row r="13"/>
    <row r="14">
      <c r="A14" s="4" t="inlineStr">
        <is>
          <t>B</t>
        </is>
      </c>
      <c r="B14" s="4" t="inlineStr">
        <is>
          <t>WHAT DOES "2.1 SUBSCRIBERS PER STORE" ACTUALLY PRODUCE?</t>
        </is>
      </c>
    </row>
    <row r="15">
      <c r="B15" s="5" t="inlineStr">
        <is>
          <t>Working</t>
        </is>
      </c>
      <c r="C15" s="5" t="inlineStr">
        <is>
          <t>Value</t>
        </is>
      </c>
      <c r="D15" s="5" t="inlineStr">
        <is>
          <t>Unit</t>
        </is>
      </c>
    </row>
    <row r="16">
      <c r="B16" s="6" t="inlineStr">
        <is>
          <t>ADNOC's stated "subscribers per store"</t>
        </is>
      </c>
      <c r="C16" s="27" t="n">
        <v>2.1</v>
      </c>
    </row>
    <row r="17">
      <c r="B17" s="6" t="inlineStr">
        <is>
          <t>Total subscribers (2.1 × 384)</t>
        </is>
      </c>
      <c r="C17" s="13">
        <f>C16*C9</f>
        <v/>
      </c>
    </row>
    <row r="18">
      <c r="B18" s="6" t="inlineStr">
        <is>
          <t>Fills per year (at once every 3 days)</t>
        </is>
      </c>
      <c r="C18" s="11">
        <f>C17*C7</f>
        <v/>
      </c>
    </row>
    <row r="19">
      <c r="B19" s="23">
        <f>CONCATENATE("2.1 subs/store × 384 stores × 122 fills/year = ",TEXT(C18,"#,##0")," fills — NOT 29 million")</f>
        <v/>
      </c>
    </row>
    <row r="20"/>
    <row r="21">
      <c r="A21" s="4" t="inlineStr">
        <is>
          <t>C</t>
        </is>
      </c>
      <c r="B21" s="4" t="inlineStr">
        <is>
          <t>ABSURDITY CHECK: FILLS NEEDED PER SUBSCRIBER</t>
        </is>
      </c>
    </row>
    <row r="22">
      <c r="B22" s="6" t="inlineStr">
        <is>
          <t>Total subscribers at 2.1/store</t>
        </is>
      </c>
      <c r="C22" s="13">
        <f>C17</f>
        <v/>
      </c>
    </row>
    <row r="23">
      <c r="B23" s="6" t="inlineStr">
        <is>
          <t>Fills per subscriber per year to reach 29M</t>
        </is>
      </c>
      <c r="C23" s="28">
        <f>C5/C22</f>
        <v/>
      </c>
    </row>
    <row r="24">
      <c r="B24" s="6" t="inlineStr">
        <is>
          <t>That's fills per day per subscriber</t>
        </is>
      </c>
      <c r="C24" s="29">
        <f>C23/365</f>
        <v/>
      </c>
    </row>
    <row r="25">
      <c r="B25" s="23" t="inlineStr">
        <is>
          <t>Each subscriber would need to fill ~99 bottles PER DAY — clearly a math error.</t>
        </is>
      </c>
    </row>
  </sheetData>
  <mergeCells count="4">
    <mergeCell ref="B12:E12"/>
    <mergeCell ref="A1:E1"/>
    <mergeCell ref="B25:E25"/>
    <mergeCell ref="B19:E19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2026-04-13T12:20:15Z</dcterms:created>
  <dcterms:modified xsi:type="dcterms:W3CDTF">2026-04-13T12:20:15Z</dcterms:modified>
</cp:coreProperties>
</file>